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ámetros" sheetId="1" r:id="rId5"/>
    <sheet state="visible" name="📓 Base A5 (8 discos)" sheetId="2" r:id="rId6"/>
    <sheet state="visible" name="➕ Nuevo Modelo" sheetId="3" r:id="rId7"/>
  </sheets>
  <definedNames/>
  <calcPr/>
</workbook>
</file>

<file path=xl/sharedStrings.xml><?xml version="1.0" encoding="utf-8"?>
<sst xmlns="http://schemas.openxmlformats.org/spreadsheetml/2006/main" count="158" uniqueCount="83">
  <si>
    <t>🖨️  TIENDA PLASTIK
Parámetros Globales de Producción</t>
  </si>
  <si>
    <t>INSUMOS</t>
  </si>
  <si>
    <t>Filamento PLA — precio por kg</t>
  </si>
  <si>
    <t>Actualizado 2025</t>
  </si>
  <si>
    <t>Hojas A5 — precio resma 500 hojas</t>
  </si>
  <si>
    <t>Resma 500 hojas</t>
  </si>
  <si>
    <t>Packaging (caja de cartón) — unitario</t>
  </si>
  <si>
    <t>⚠️ Pendiente de cotizar</t>
  </si>
  <si>
    <t>EQUIPO · Bambu Lab A1</t>
  </si>
  <si>
    <t>Costo de adquisición</t>
  </si>
  <si>
    <t>Valor residual</t>
  </si>
  <si>
    <t>Vida útil (horas)</t>
  </si>
  <si>
    <t>Consumo eléctrico (W)</t>
  </si>
  <si>
    <t>Mantenimiento anual ($)</t>
  </si>
  <si>
    <t>Horas uso anual</t>
  </si>
  <si>
    <t>PARÁMETROS GENERALES</t>
  </si>
  <si>
    <t>Costo kWh (con todos los impuestos)</t>
  </si>
  <si>
    <t>Valor hora mano de obra</t>
  </si>
  <si>
    <t>Desperdicio materia prima (%)</t>
  </si>
  <si>
    <t>Contingencia (%)</t>
  </si>
  <si>
    <t>Reinversión (%)</t>
  </si>
  <si>
    <t>Régimen unificado Mendoza (%)</t>
  </si>
  <si>
    <t>Marketing mensual total ($)</t>
  </si>
  <si>
    <t>Unidades estimadas / mes</t>
  </si>
  <si>
    <t>HORA MÁQUINA (calculada automáticamente)</t>
  </si>
  <si>
    <t>Depreciación / hora</t>
  </si>
  <si>
    <t>Energía eléctrica / hora</t>
  </si>
  <si>
    <t>Mantenimiento / hora</t>
  </si>
  <si>
    <t>💡 COSTO HORA MÁQUINA TOTAL</t>
  </si>
  <si>
    <t>🖨️  TIENDA PLASTIK  ·  Cuaderno A5 — Modelo Base (8 discos)</t>
  </si>
  <si>
    <t>A · COMPONENTES IMPRESOS (filamento)</t>
  </si>
  <si>
    <t>Pieza</t>
  </si>
  <si>
    <t>Gramos</t>
  </si>
  <si>
    <t>Tiempo impr. (min)</t>
  </si>
  <si>
    <t>Costo filamento</t>
  </si>
  <si>
    <t>Tapa delantera</t>
  </si>
  <si>
    <t>Tapa trasera</t>
  </si>
  <si>
    <t>Discos (8 unid.)</t>
  </si>
  <si>
    <t>Subtotal filamento (sin desperdicio)</t>
  </si>
  <si>
    <t>+ Desperdicio ('⚙️ Parámetros'!C21 %)</t>
  </si>
  <si>
    <t>✅ Total filamento c/desperdicio</t>
  </si>
  <si>
    <t>B · HOJAS</t>
  </si>
  <si>
    <t>Cantidad de hojas por cuaderno</t>
  </si>
  <si>
    <t>→ Costo hojas</t>
  </si>
  <si>
    <t>C · PACKAGING</t>
  </si>
  <si>
    <t>Costo packaging unitario (desde Parámetros)</t>
  </si>
  <si>
    <t>⚠️ Actualizar en Parámetros cuando esté cotizado</t>
  </si>
  <si>
    <t>D · HORA MÁQUINA (impresión)</t>
  </si>
  <si>
    <t>Tiempo total de impresión (min)</t>
  </si>
  <si>
    <t>→ Costo hora máquina</t>
  </si>
  <si>
    <t>E · MANO DE OBRA</t>
  </si>
  <si>
    <t>Tiempo armado (min)</t>
  </si>
  <si>
    <t>Tiempo gestión (min)</t>
  </si>
  <si>
    <t>→ Costo mano de obra</t>
  </si>
  <si>
    <t>F · MARKETING PRORRATEADO</t>
  </si>
  <si>
    <t>Marketing mensual / unidades estimadas</t>
  </si>
  <si>
    <t>COSTO DE PRODUCCIÓN</t>
  </si>
  <si>
    <t>A · Filamento (c/desperdicio)</t>
  </si>
  <si>
    <t>B · Hojas</t>
  </si>
  <si>
    <t>C · Packaging</t>
  </si>
  <si>
    <t>D · Hora máquina (impresión)</t>
  </si>
  <si>
    <t>E · Mano de obra</t>
  </si>
  <si>
    <t>F · Marketing prorrateado</t>
  </si>
  <si>
    <t>COSTO DE PRODUCCIÓN TOTAL</t>
  </si>
  <si>
    <t>+ Contingencia ('⚙️ Parámetros'!C22 %)</t>
  </si>
  <si>
    <t>+ Reinversión ('⚙️ Parámetros'!C23 %)</t>
  </si>
  <si>
    <t>💰 COSTO CON PROVISIONES (base de precio)</t>
  </si>
  <si>
    <t>PRECIOS POR CANAL  —  precio = costo_prov / (1 − margen − comisión − régimen)</t>
  </si>
  <si>
    <t>💬 Venta Directa (IG/WhatsApp)</t>
  </si>
  <si>
    <t>Margen objetivo (%)</t>
  </si>
  <si>
    <t>Comisión canal (%)</t>
  </si>
  <si>
    <t>Régimen unificado (desde '⚙️ Parámetros'!C24 %)</t>
  </si>
  <si>
    <t>Denominador  (1 − margen − comisión − régimen)</t>
  </si>
  <si>
    <t>🏷️ PRECIO SUGERIDO — Venta Directa (IG/WhatsApp)</t>
  </si>
  <si>
    <t xml:space="preserve">   Ganancia neta estimada</t>
  </si>
  <si>
    <t>🛒 MercadoLibre</t>
  </si>
  <si>
    <t>🏷️ PRECIO SUGERIDO — MercadoLibre</t>
  </si>
  <si>
    <t>📦 Mayorista (≥10 unidades)</t>
  </si>
  <si>
    <t>🏷️ PRECIO SUGERIDO — Mayorista (≥10 unidades)</t>
  </si>
  <si>
    <t>🔵 Azul = datos a ingresar  |  ⚫ Negro = fórmulas automáticas  |  🟢 Verde = resultado final  |  ⚠️ Packaging pendiente</t>
  </si>
  <si>
    <t>Efectivo</t>
  </si>
  <si>
    <t>🖨️  TIENDA PLASTIK  ·  Nuevo Modelo — completar</t>
  </si>
  <si>
    <t>Discos (? unid.)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</si>
</sst>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0.0&quot;%&quot;"/>
    <numFmt numFmtId="166" formatCode="0.000"/>
  </numFmts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9.0"/>
      <color rgb="FF1A1A1A"/>
      <name val="Arial"/>
    </font>
    <font>
      <sz val="9.0"/>
      <color rgb="FF0000FF"/>
      <name val="Arial"/>
    </font>
    <font>
      <i/>
      <sz val="8.0"/>
      <color rgb="FF888888"/>
      <name val="Arial"/>
    </font>
    <font>
      <sz val="9.0"/>
      <color rgb="FF000000"/>
      <name val="Arial"/>
    </font>
    <font>
      <b/>
      <sz val="9.0"/>
      <color rgb="FFFFFFFF"/>
      <name val="Arial"/>
    </font>
    <font>
      <i/>
      <sz val="8.0"/>
      <color rgb="FFE65100"/>
      <name val="Arial"/>
    </font>
    <font>
      <b/>
      <sz val="11.0"/>
      <color rgb="FFFFFFFF"/>
      <name val="Arial"/>
    </font>
    <font>
      <i/>
      <sz val="8.0"/>
      <color rgb="FF555555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8080"/>
        <bgColor rgb="FF008080"/>
      </patternFill>
    </fill>
    <fill>
      <patternFill patternType="solid">
        <fgColor rgb="FF004D40"/>
        <bgColor rgb="FF004D40"/>
      </patternFill>
    </fill>
    <fill>
      <patternFill patternType="solid">
        <fgColor rgb="FFE0F4F1"/>
        <bgColor rgb="FFE0F4F1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336B6B"/>
        <bgColor rgb="FF336B6B"/>
      </patternFill>
    </fill>
    <fill>
      <patternFill patternType="solid">
        <fgColor rgb="FF2E7D32"/>
        <bgColor rgb="FF2E7D32"/>
      </patternFill>
    </fill>
    <fill>
      <patternFill patternType="solid">
        <fgColor rgb="FF1B5E20"/>
        <bgColor rgb="FF1B5E20"/>
      </patternFill>
    </fill>
    <fill>
      <patternFill patternType="solid">
        <fgColor rgb="FF37474F"/>
        <bgColor rgb="FF37474F"/>
      </patternFill>
    </fill>
    <fill>
      <patternFill patternType="solid">
        <fgColor rgb="FFC8E6C9"/>
        <bgColor rgb="FFC8E6C9"/>
      </patternFill>
    </fill>
  </fills>
  <borders count="6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8080"/>
      </left>
      <right style="medium">
        <color rgb="FF008080"/>
      </right>
      <top style="medium">
        <color rgb="FF008080"/>
      </top>
      <bottom style="medium">
        <color rgb="FF00808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vertical="center"/>
    </xf>
    <xf borderId="4" fillId="5" fontId="5" numFmtId="164" xfId="0" applyAlignment="1" applyBorder="1" applyFill="1" applyFont="1" applyNumberFormat="1">
      <alignment horizontal="right" vertical="center"/>
    </xf>
    <xf borderId="0" fillId="0" fontId="6" numFmtId="0" xfId="0" applyAlignment="1" applyFont="1">
      <alignment horizontal="left" vertical="center"/>
    </xf>
    <xf borderId="4" fillId="5" fontId="5" numFmtId="3" xfId="0" applyAlignment="1" applyBorder="1" applyFont="1" applyNumberFormat="1">
      <alignment horizontal="right" vertical="center"/>
    </xf>
    <xf borderId="4" fillId="5" fontId="5" numFmtId="165" xfId="0" applyAlignment="1" applyBorder="1" applyFont="1" applyNumberFormat="1">
      <alignment horizontal="right" vertical="center"/>
    </xf>
    <xf borderId="4" fillId="6" fontId="7" numFmtId="164" xfId="0" applyAlignment="1" applyBorder="1" applyFill="1" applyFont="1" applyNumberFormat="1">
      <alignment horizontal="right" vertical="center"/>
    </xf>
    <xf borderId="5" fillId="2" fontId="3" numFmtId="164" xfId="0" applyAlignment="1" applyBorder="1" applyFont="1" applyNumberFormat="1">
      <alignment horizontal="right" vertical="center"/>
    </xf>
    <xf borderId="4" fillId="7" fontId="8" numFmtId="0" xfId="0" applyAlignment="1" applyBorder="1" applyFill="1" applyFont="1">
      <alignment horizontal="center" shrinkToFit="0" vertical="center" wrapText="1"/>
    </xf>
    <xf borderId="4" fillId="5" fontId="5" numFmtId="4" xfId="0" applyAlignment="1" applyBorder="1" applyFont="1" applyNumberFormat="1">
      <alignment horizontal="right" vertical="center"/>
    </xf>
    <xf borderId="4" fillId="6" fontId="7" numFmtId="4" xfId="0" applyAlignment="1" applyBorder="1" applyFont="1" applyNumberFormat="1">
      <alignment horizontal="right" vertical="center"/>
    </xf>
    <xf borderId="4" fillId="6" fontId="7" numFmtId="3" xfId="0" applyAlignment="1" applyBorder="1" applyFont="1" applyNumberFormat="1">
      <alignment horizontal="right" vertical="center"/>
    </xf>
    <xf borderId="5" fillId="8" fontId="3" numFmtId="164" xfId="0" applyAlignment="1" applyBorder="1" applyFill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ont="1">
      <alignment horizontal="center" shrinkToFit="0" vertical="center" wrapText="1"/>
    </xf>
    <xf borderId="5" fillId="9" fontId="3" numFmtId="164" xfId="0" applyAlignment="1" applyBorder="1" applyFill="1" applyFont="1" applyNumberFormat="1">
      <alignment horizontal="right" vertical="center"/>
    </xf>
    <xf borderId="1" fillId="10" fontId="3" numFmtId="0" xfId="0" applyAlignment="1" applyBorder="1" applyFill="1" applyFont="1">
      <alignment horizontal="center" shrinkToFit="0" vertical="center" wrapText="1"/>
    </xf>
    <xf borderId="4" fillId="6" fontId="7" numFmtId="165" xfId="0" applyAlignment="1" applyBorder="1" applyFont="1" applyNumberFormat="1">
      <alignment horizontal="right" vertical="center"/>
    </xf>
    <xf borderId="4" fillId="6" fontId="7" numFmtId="166" xfId="0" applyAlignment="1" applyBorder="1" applyFont="1" applyNumberFormat="1">
      <alignment horizontal="right" vertical="center"/>
    </xf>
    <xf borderId="4" fillId="11" fontId="7" numFmtId="164" xfId="0" applyAlignment="1" applyBorder="1" applyFill="1" applyFont="1" applyNumberFormat="1">
      <alignment horizontal="right" vertical="center"/>
    </xf>
    <xf borderId="0" fillId="0" fontId="11" numFmtId="0" xfId="0" applyAlignment="1" applyFont="1">
      <alignment horizontal="left" vertical="center"/>
    </xf>
    <xf borderId="1" fillId="10" fontId="3" numFmtId="0" xfId="0" applyAlignment="1" applyBorder="1" applyFont="1">
      <alignment horizontal="center" readingOrder="0" shrinkToFit="0" vertical="center" wrapText="1"/>
    </xf>
    <xf borderId="4" fillId="5" fontId="5" numFmtId="165" xfId="0" applyAlignment="1" applyBorder="1" applyFont="1" applyNumberFormat="1">
      <alignment horizontal="right" readingOrder="0" vertical="center"/>
    </xf>
    <xf borderId="4" fillId="6" fontId="7" numFmtId="9" xfId="0" applyAlignment="1" applyBorder="1" applyFont="1" applyNumberFormat="1">
      <alignment horizontal="right" readingOrder="0" vertical="center"/>
    </xf>
    <xf borderId="4" fillId="5" fontId="5" numFmtId="4" xfId="0" applyAlignment="1" applyBorder="1" applyFont="1" applyNumberFormat="1">
      <alignment horizontal="right" readingOrder="0" vertical="center"/>
    </xf>
    <xf borderId="4" fillId="5" fontId="5" numFmtId="3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1.14"/>
    <col customWidth="1" min="3" max="4" width="22.0"/>
    <col customWidth="1" min="5" max="5" width="28.0"/>
    <col customWidth="1" min="6" max="26" width="8.71"/>
  </cols>
  <sheetData>
    <row r="1" ht="7.5" customHeight="1"/>
    <row r="2" ht="48.0" customHeight="1">
      <c r="B2" s="1" t="s">
        <v>0</v>
      </c>
      <c r="C2" s="2"/>
      <c r="D2" s="3"/>
    </row>
    <row r="3" ht="7.5" customHeight="1"/>
    <row r="4" ht="7.5" customHeight="1"/>
    <row r="5" ht="21.75" customHeight="1">
      <c r="B5" s="4" t="s">
        <v>1</v>
      </c>
      <c r="C5" s="2"/>
      <c r="D5" s="3"/>
    </row>
    <row r="6" ht="21.75" customHeight="1">
      <c r="B6" s="5" t="s">
        <v>2</v>
      </c>
      <c r="C6" s="6">
        <v>28234.0</v>
      </c>
      <c r="D6" s="7" t="s">
        <v>3</v>
      </c>
    </row>
    <row r="7" ht="21.75" customHeight="1">
      <c r="B7" s="5" t="s">
        <v>4</v>
      </c>
      <c r="C7" s="6">
        <v>17844.0</v>
      </c>
      <c r="D7" s="7" t="s">
        <v>5</v>
      </c>
    </row>
    <row r="8" ht="21.75" customHeight="1">
      <c r="B8" s="5" t="s">
        <v>6</v>
      </c>
      <c r="C8" s="6">
        <v>0.0</v>
      </c>
      <c r="D8" s="7" t="s">
        <v>7</v>
      </c>
    </row>
    <row r="9" ht="7.5" customHeight="1"/>
    <row r="10" ht="21.75" customHeight="1">
      <c r="B10" s="4" t="s">
        <v>8</v>
      </c>
      <c r="C10" s="2"/>
      <c r="D10" s="3"/>
    </row>
    <row r="11" ht="19.5" customHeight="1">
      <c r="B11" s="5" t="s">
        <v>9</v>
      </c>
      <c r="C11" s="6">
        <v>1400000.0</v>
      </c>
    </row>
    <row r="12" ht="19.5" customHeight="1">
      <c r="B12" s="5" t="s">
        <v>10</v>
      </c>
      <c r="C12" s="6">
        <v>350000.0</v>
      </c>
    </row>
    <row r="13" ht="19.5" customHeight="1">
      <c r="B13" s="5" t="s">
        <v>11</v>
      </c>
      <c r="C13" s="8">
        <v>6000.0</v>
      </c>
    </row>
    <row r="14" ht="19.5" customHeight="1">
      <c r="B14" s="5" t="s">
        <v>12</v>
      </c>
      <c r="C14" s="8">
        <v>260.0</v>
      </c>
    </row>
    <row r="15" ht="19.5" customHeight="1">
      <c r="B15" s="5" t="s">
        <v>13</v>
      </c>
      <c r="C15" s="6">
        <v>80000.0</v>
      </c>
    </row>
    <row r="16" ht="19.5" customHeight="1">
      <c r="B16" s="5" t="s">
        <v>14</v>
      </c>
      <c r="C16" s="8">
        <v>2000.0</v>
      </c>
    </row>
    <row r="17" ht="7.5" customHeight="1"/>
    <row r="18" ht="21.75" customHeight="1">
      <c r="B18" s="4" t="s">
        <v>15</v>
      </c>
      <c r="C18" s="2"/>
      <c r="D18" s="3"/>
    </row>
    <row r="19" ht="19.5" customHeight="1">
      <c r="B19" s="5" t="s">
        <v>16</v>
      </c>
      <c r="C19" s="6">
        <v>303.98</v>
      </c>
    </row>
    <row r="20" ht="19.5" customHeight="1">
      <c r="B20" s="5" t="s">
        <v>17</v>
      </c>
      <c r="C20" s="6">
        <v>5000.0</v>
      </c>
    </row>
    <row r="21" ht="19.5" customHeight="1">
      <c r="B21" s="5" t="s">
        <v>18</v>
      </c>
      <c r="C21" s="9">
        <v>5.0</v>
      </c>
    </row>
    <row r="22" ht="19.5" customHeight="1">
      <c r="B22" s="5" t="s">
        <v>19</v>
      </c>
      <c r="C22" s="9">
        <v>5.0</v>
      </c>
    </row>
    <row r="23" ht="19.5" customHeight="1">
      <c r="B23" s="5" t="s">
        <v>20</v>
      </c>
      <c r="C23" s="9">
        <v>10.0</v>
      </c>
    </row>
    <row r="24" ht="19.5" customHeight="1">
      <c r="B24" s="5" t="s">
        <v>21</v>
      </c>
      <c r="C24" s="9">
        <v>4.0</v>
      </c>
    </row>
    <row r="25" ht="19.5" customHeight="1">
      <c r="B25" s="5" t="s">
        <v>22</v>
      </c>
      <c r="C25" s="6">
        <v>15000.0</v>
      </c>
    </row>
    <row r="26" ht="19.5" customHeight="1">
      <c r="B26" s="5" t="s">
        <v>23</v>
      </c>
      <c r="C26" s="8">
        <v>20.0</v>
      </c>
    </row>
    <row r="27" ht="25.5" customHeight="1"/>
    <row r="28" ht="21.75" customHeight="1">
      <c r="B28" s="4" t="s">
        <v>24</v>
      </c>
      <c r="C28" s="2"/>
      <c r="D28" s="3"/>
    </row>
    <row r="29" ht="19.5" customHeight="1">
      <c r="B29" s="5" t="s">
        <v>25</v>
      </c>
      <c r="C29" s="10">
        <f>(C11-C12)/C13</f>
        <v>175</v>
      </c>
    </row>
    <row r="30" ht="19.5" customHeight="1">
      <c r="B30" s="5" t="s">
        <v>26</v>
      </c>
      <c r="C30" s="10">
        <f>(C14/1000)*C19</f>
        <v>79.0348</v>
      </c>
    </row>
    <row r="31" ht="19.5" customHeight="1">
      <c r="B31" s="5" t="s">
        <v>27</v>
      </c>
      <c r="C31" s="10">
        <f>C15/C16</f>
        <v>40</v>
      </c>
    </row>
    <row r="32" ht="21.75" customHeight="1">
      <c r="B32" s="5" t="s">
        <v>28</v>
      </c>
      <c r="C32" s="11">
        <f>C29+C30+C31</f>
        <v>294.0348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D2"/>
    <mergeCell ref="B5:D5"/>
    <mergeCell ref="B10:D10"/>
    <mergeCell ref="B18:D18"/>
    <mergeCell ref="B28:D2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5" width="20.0"/>
    <col customWidth="1" min="6" max="6" width="30.0"/>
    <col customWidth="1" min="7" max="26" width="8.71"/>
  </cols>
  <sheetData>
    <row r="1" ht="7.5" customHeight="1"/>
    <row r="2" ht="48.0" customHeight="1">
      <c r="B2" s="1" t="s">
        <v>29</v>
      </c>
      <c r="C2" s="2"/>
      <c r="D2" s="2"/>
      <c r="E2" s="3"/>
    </row>
    <row r="3" ht="7.5" customHeight="1"/>
    <row r="4" ht="7.5" customHeight="1"/>
    <row r="5" ht="21.75" customHeight="1">
      <c r="B5" s="4" t="s">
        <v>30</v>
      </c>
      <c r="C5" s="2"/>
      <c r="D5" s="2"/>
      <c r="E5" s="3"/>
    </row>
    <row r="6" ht="18.0" customHeight="1">
      <c r="B6" s="12" t="s">
        <v>31</v>
      </c>
      <c r="C6" s="12" t="s">
        <v>32</v>
      </c>
      <c r="D6" s="12" t="s">
        <v>33</v>
      </c>
      <c r="E6" s="12" t="s">
        <v>34</v>
      </c>
    </row>
    <row r="7" ht="19.5" customHeight="1">
      <c r="B7" s="5" t="s">
        <v>35</v>
      </c>
      <c r="C7" s="13">
        <v>60.0</v>
      </c>
      <c r="D7" s="8">
        <v>150.0</v>
      </c>
      <c r="E7" s="10">
        <f>(C7/1000)*'Parámetros'!C6</f>
        <v>1694.04</v>
      </c>
    </row>
    <row r="8" ht="19.5" customHeight="1">
      <c r="B8" s="5" t="s">
        <v>36</v>
      </c>
      <c r="C8" s="13">
        <v>60.0</v>
      </c>
      <c r="D8" s="8">
        <v>150.0</v>
      </c>
      <c r="E8" s="10">
        <f>(C8/1000)*'Parámetros'!C6</f>
        <v>1694.04</v>
      </c>
    </row>
    <row r="9" ht="19.5" customHeight="1">
      <c r="B9" s="5" t="s">
        <v>37</v>
      </c>
      <c r="C9" s="13">
        <v>15.0</v>
      </c>
      <c r="D9" s="8">
        <v>75.0</v>
      </c>
      <c r="E9" s="10">
        <f>(C9/1000)*'Parámetros'!C6</f>
        <v>423.51</v>
      </c>
    </row>
    <row r="10" ht="19.5" customHeight="1">
      <c r="B10" s="5" t="s">
        <v>38</v>
      </c>
      <c r="C10" s="14">
        <f t="shared" ref="C10:E10" si="1">SUM(C7:C9)</f>
        <v>135</v>
      </c>
      <c r="D10" s="15">
        <f t="shared" si="1"/>
        <v>375</v>
      </c>
      <c r="E10" s="10">
        <f t="shared" si="1"/>
        <v>3811.59</v>
      </c>
    </row>
    <row r="11" ht="19.5" customHeight="1">
      <c r="B11" s="5" t="s">
        <v>39</v>
      </c>
      <c r="E11" s="10">
        <f>E10*('Parámetros'!C21/100)</f>
        <v>190.5795</v>
      </c>
    </row>
    <row r="12" ht="21.75" customHeight="1">
      <c r="B12" s="5" t="s">
        <v>40</v>
      </c>
      <c r="E12" s="16">
        <f>E10+E11</f>
        <v>4002.1695</v>
      </c>
    </row>
    <row r="13" ht="7.5" customHeight="1"/>
    <row r="14" ht="21.75" customHeight="1">
      <c r="B14" s="4" t="s">
        <v>41</v>
      </c>
      <c r="C14" s="2"/>
      <c r="D14" s="2"/>
      <c r="E14" s="3"/>
    </row>
    <row r="15" ht="19.5" customHeight="1">
      <c r="B15" s="5" t="s">
        <v>42</v>
      </c>
      <c r="C15" s="8">
        <v>80.0</v>
      </c>
      <c r="D15" s="5" t="s">
        <v>43</v>
      </c>
      <c r="E15" s="10">
        <f>(C15/500)*'Parámetros'!C7</f>
        <v>2855.04</v>
      </c>
    </row>
    <row r="16" ht="7.5" customHeight="1"/>
    <row r="17" ht="21.75" customHeight="1">
      <c r="B17" s="4" t="s">
        <v>44</v>
      </c>
      <c r="C17" s="2"/>
      <c r="D17" s="2"/>
      <c r="E17" s="3"/>
    </row>
    <row r="18" ht="19.5" customHeight="1">
      <c r="B18" s="5" t="s">
        <v>45</v>
      </c>
      <c r="E18" s="10">
        <f>'Parámetros'!C8</f>
        <v>0</v>
      </c>
      <c r="F18" s="17" t="s">
        <v>46</v>
      </c>
    </row>
    <row r="19" ht="7.5" customHeight="1"/>
    <row r="20" ht="21.75" customHeight="1">
      <c r="B20" s="4" t="s">
        <v>47</v>
      </c>
      <c r="C20" s="2"/>
      <c r="D20" s="2"/>
      <c r="E20" s="3"/>
    </row>
    <row r="21" ht="19.5" customHeight="1">
      <c r="B21" s="5" t="s">
        <v>48</v>
      </c>
      <c r="C21" s="15">
        <f>D10</f>
        <v>375</v>
      </c>
      <c r="D21" s="5" t="s">
        <v>49</v>
      </c>
      <c r="E21" s="10">
        <f>(C21/60)*'Parámetros'!C32</f>
        <v>1837.7175</v>
      </c>
    </row>
    <row r="22" ht="7.5" customHeight="1"/>
    <row r="23" ht="21.75" customHeight="1">
      <c r="B23" s="4" t="s">
        <v>50</v>
      </c>
      <c r="C23" s="2"/>
      <c r="D23" s="2"/>
      <c r="E23" s="3"/>
    </row>
    <row r="24" ht="19.5" customHeight="1">
      <c r="B24" s="5" t="s">
        <v>51</v>
      </c>
      <c r="C24" s="8">
        <v>45.0</v>
      </c>
    </row>
    <row r="25" ht="19.5" customHeight="1">
      <c r="B25" s="5" t="s">
        <v>52</v>
      </c>
      <c r="C25" s="8">
        <v>15.0</v>
      </c>
    </row>
    <row r="26" ht="19.5" customHeight="1">
      <c r="B26" s="5" t="s">
        <v>53</v>
      </c>
      <c r="E26" s="10">
        <f>((C24+C25)/60)*'Parámetros'!C20</f>
        <v>5000</v>
      </c>
    </row>
    <row r="27" ht="7.5" customHeight="1"/>
    <row r="28" ht="21.75" customHeight="1">
      <c r="B28" s="4" t="s">
        <v>54</v>
      </c>
      <c r="C28" s="2"/>
      <c r="D28" s="2"/>
      <c r="E28" s="3"/>
    </row>
    <row r="29" ht="19.5" customHeight="1">
      <c r="B29" s="5" t="s">
        <v>55</v>
      </c>
      <c r="E29" s="10">
        <f>'Parámetros'!C25/'Parámetros'!C26</f>
        <v>750</v>
      </c>
    </row>
    <row r="30" ht="7.5" customHeight="1"/>
    <row r="31" ht="25.5" customHeight="1">
      <c r="B31" s="18" t="s">
        <v>56</v>
      </c>
      <c r="C31" s="2"/>
      <c r="D31" s="3"/>
    </row>
    <row r="32" ht="19.5" customHeight="1">
      <c r="B32" s="5" t="s">
        <v>57</v>
      </c>
      <c r="E32" s="10">
        <f>E12</f>
        <v>4002.1695</v>
      </c>
    </row>
    <row r="33" ht="19.5" customHeight="1">
      <c r="B33" s="5" t="s">
        <v>58</v>
      </c>
      <c r="E33" s="10">
        <f>E15</f>
        <v>2855.04</v>
      </c>
    </row>
    <row r="34" ht="19.5" customHeight="1">
      <c r="B34" s="5" t="s">
        <v>59</v>
      </c>
      <c r="E34" s="10">
        <f>E18</f>
        <v>0</v>
      </c>
    </row>
    <row r="35" ht="19.5" customHeight="1">
      <c r="B35" s="5" t="s">
        <v>60</v>
      </c>
      <c r="E35" s="10">
        <f>E21</f>
        <v>1837.7175</v>
      </c>
    </row>
    <row r="36" ht="19.5" customHeight="1">
      <c r="B36" s="5" t="s">
        <v>61</v>
      </c>
      <c r="E36" s="10">
        <f>E26</f>
        <v>5000</v>
      </c>
    </row>
    <row r="37" ht="19.5" customHeight="1">
      <c r="B37" s="5" t="s">
        <v>62</v>
      </c>
      <c r="E37" s="10">
        <f>E29</f>
        <v>750</v>
      </c>
    </row>
    <row r="38" ht="24.0" customHeight="1">
      <c r="B38" s="5" t="s">
        <v>63</v>
      </c>
      <c r="E38" s="11">
        <f>SUM(E32:E37)</f>
        <v>14444.927</v>
      </c>
    </row>
    <row r="39" ht="19.5" customHeight="1">
      <c r="B39" s="5" t="s">
        <v>64</v>
      </c>
      <c r="E39" s="10">
        <f>E38*('Parámetros'!C22/100)</f>
        <v>722.24635</v>
      </c>
    </row>
    <row r="40" ht="19.5" customHeight="1">
      <c r="B40" s="5" t="s">
        <v>65</v>
      </c>
      <c r="E40" s="10">
        <f>E38*('Parámetros'!C23/100)</f>
        <v>1444.4927</v>
      </c>
    </row>
    <row r="41" ht="25.5" customHeight="1">
      <c r="B41" s="5" t="s">
        <v>66</v>
      </c>
      <c r="E41" s="19">
        <f>E38+E39+E40</f>
        <v>16611.66605</v>
      </c>
    </row>
    <row r="42" ht="7.5" customHeight="1"/>
    <row r="43" ht="21.75" customHeight="1">
      <c r="B43" s="4" t="s">
        <v>67</v>
      </c>
      <c r="C43" s="2"/>
      <c r="D43" s="2"/>
      <c r="E43" s="3"/>
    </row>
    <row r="44" ht="7.5" customHeight="1"/>
    <row r="45" ht="21.75" customHeight="1">
      <c r="B45" s="20" t="s">
        <v>68</v>
      </c>
      <c r="C45" s="2"/>
      <c r="D45" s="2"/>
      <c r="E45" s="3"/>
    </row>
    <row r="46" ht="19.5" customHeight="1">
      <c r="B46" s="5" t="s">
        <v>69</v>
      </c>
      <c r="C46" s="9">
        <v>35.0</v>
      </c>
    </row>
    <row r="47" ht="19.5" customHeight="1">
      <c r="B47" s="5" t="s">
        <v>70</v>
      </c>
      <c r="C47" s="9">
        <v>6.5</v>
      </c>
    </row>
    <row r="48" ht="19.5" customHeight="1">
      <c r="B48" s="5" t="s">
        <v>71</v>
      </c>
      <c r="C48" s="21">
        <f>'Parámetros'!C24</f>
        <v>4</v>
      </c>
    </row>
    <row r="49" ht="19.5" customHeight="1">
      <c r="B49" s="5" t="s">
        <v>72</v>
      </c>
      <c r="C49" s="22">
        <f>1-(C46/100)-(C47/100)-(C48/100)</f>
        <v>0.545</v>
      </c>
    </row>
    <row r="50" ht="25.5" customHeight="1">
      <c r="B50" s="5" t="s">
        <v>73</v>
      </c>
      <c r="E50" s="11">
        <f>IF(C49&gt;0,E41/C49,"⚠️ Rev. márgenes")</f>
        <v>30480.12119</v>
      </c>
    </row>
    <row r="51" ht="19.5" customHeight="1">
      <c r="B51" s="5" t="s">
        <v>74</v>
      </c>
      <c r="E51" s="23">
        <f>IF(C49&gt;0,E50*(C46/100),"-")</f>
        <v>10668.04242</v>
      </c>
    </row>
    <row r="52" ht="7.5" customHeight="1"/>
    <row r="53" ht="21.75" customHeight="1">
      <c r="B53" s="20" t="s">
        <v>75</v>
      </c>
      <c r="C53" s="2"/>
      <c r="D53" s="2"/>
      <c r="E53" s="3"/>
    </row>
    <row r="54" ht="19.5" customHeight="1">
      <c r="B54" s="5" t="s">
        <v>69</v>
      </c>
      <c r="C54" s="9">
        <v>35.0</v>
      </c>
    </row>
    <row r="55" ht="19.5" customHeight="1">
      <c r="B55" s="5" t="s">
        <v>70</v>
      </c>
      <c r="C55" s="9">
        <v>13.0</v>
      </c>
    </row>
    <row r="56" ht="19.5" customHeight="1">
      <c r="B56" s="5" t="s">
        <v>71</v>
      </c>
      <c r="C56" s="21">
        <f>'Parámetros'!C24</f>
        <v>4</v>
      </c>
    </row>
    <row r="57" ht="19.5" customHeight="1">
      <c r="B57" s="5" t="s">
        <v>72</v>
      </c>
      <c r="C57" s="22">
        <f>1-(C54/100)-(C55/100)-(C56/100)</f>
        <v>0.48</v>
      </c>
    </row>
    <row r="58" ht="25.5" customHeight="1">
      <c r="B58" s="5" t="s">
        <v>76</v>
      </c>
      <c r="E58" s="11">
        <f>IF(C57&gt;0,E41/C57,"⚠️ Rev. márgenes")</f>
        <v>34607.6376</v>
      </c>
    </row>
    <row r="59" ht="19.5" customHeight="1">
      <c r="B59" s="5" t="s">
        <v>74</v>
      </c>
      <c r="E59" s="23">
        <f>IF(C57&gt;0,E58*(C54/100),"-")</f>
        <v>12112.67316</v>
      </c>
    </row>
    <row r="60" ht="7.5" customHeight="1"/>
    <row r="61" ht="21.75" customHeight="1">
      <c r="B61" s="20" t="s">
        <v>77</v>
      </c>
      <c r="C61" s="2"/>
      <c r="D61" s="2"/>
      <c r="E61" s="3"/>
    </row>
    <row r="62" ht="19.5" customHeight="1">
      <c r="B62" s="5" t="s">
        <v>69</v>
      </c>
      <c r="C62" s="9">
        <v>30.0</v>
      </c>
    </row>
    <row r="63" ht="19.5" customHeight="1">
      <c r="B63" s="5" t="s">
        <v>70</v>
      </c>
      <c r="C63" s="9">
        <v>6.5</v>
      </c>
    </row>
    <row r="64" ht="19.5" customHeight="1">
      <c r="B64" s="5" t="s">
        <v>71</v>
      </c>
      <c r="C64" s="21">
        <f>'Parámetros'!C24</f>
        <v>4</v>
      </c>
    </row>
    <row r="65" ht="19.5" customHeight="1">
      <c r="B65" s="5" t="s">
        <v>72</v>
      </c>
      <c r="C65" s="22">
        <f>1-(C62/100)-(C63/100)-(C64/100)</f>
        <v>0.595</v>
      </c>
    </row>
    <row r="66" ht="25.5" customHeight="1">
      <c r="B66" s="5" t="s">
        <v>78</v>
      </c>
      <c r="E66" s="11">
        <f>IF(C65&gt;0,E41/C65,"⚠️ Rev. márgenes")</f>
        <v>27918.76647</v>
      </c>
    </row>
    <row r="67" ht="19.5" customHeight="1">
      <c r="B67" s="5" t="s">
        <v>74</v>
      </c>
      <c r="E67" s="23">
        <f>IF(C65&gt;0,E66*(C62/100),"-")</f>
        <v>8375.629941</v>
      </c>
    </row>
    <row r="68" ht="7.5" customHeight="1"/>
    <row r="69" ht="18.0" customHeight="1">
      <c r="B69" s="24" t="s">
        <v>79</v>
      </c>
    </row>
    <row r="70" ht="15.75" customHeight="1"/>
    <row r="71" ht="15.75" customHeight="1">
      <c r="B71" s="25" t="s">
        <v>80</v>
      </c>
      <c r="C71" s="2"/>
      <c r="D71" s="2"/>
      <c r="E71" s="3"/>
    </row>
    <row r="72" ht="15.75" customHeight="1">
      <c r="B72" s="5" t="s">
        <v>69</v>
      </c>
      <c r="C72" s="26">
        <v>35.0</v>
      </c>
    </row>
    <row r="73" ht="15.75" customHeight="1">
      <c r="B73" s="5" t="s">
        <v>70</v>
      </c>
      <c r="C73" s="26">
        <v>0.0</v>
      </c>
    </row>
    <row r="74" ht="15.75" customHeight="1">
      <c r="B74" s="5" t="s">
        <v>71</v>
      </c>
      <c r="C74" s="27">
        <v>0.04</v>
      </c>
    </row>
    <row r="75" ht="15.75" customHeight="1">
      <c r="B75" s="5" t="s">
        <v>72</v>
      </c>
      <c r="C75" s="22">
        <f>1-(C72/100)-(C73/100)-(C74/100)</f>
        <v>0.6496</v>
      </c>
    </row>
    <row r="76" ht="15.75" customHeight="1">
      <c r="B76" s="5" t="s">
        <v>78</v>
      </c>
      <c r="E76" s="11">
        <f>IF(C75&gt;0,E41/C75,"⚠️ Rev. márgenes")</f>
        <v>25572.14601</v>
      </c>
    </row>
    <row r="77" ht="15.75" customHeight="1">
      <c r="B77" s="5" t="s">
        <v>74</v>
      </c>
      <c r="E77" s="23">
        <f>IF(C75&gt;0,E76*(C72/100),"-")</f>
        <v>8950.251105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1:D31"/>
    <mergeCell ref="B43:E43"/>
    <mergeCell ref="B45:E45"/>
    <mergeCell ref="B53:E53"/>
    <mergeCell ref="B61:E61"/>
    <mergeCell ref="B69:E69"/>
    <mergeCell ref="B71:E71"/>
    <mergeCell ref="B2:E2"/>
    <mergeCell ref="B5:E5"/>
    <mergeCell ref="B14:E14"/>
    <mergeCell ref="B17:E17"/>
    <mergeCell ref="B20:E20"/>
    <mergeCell ref="B23:E23"/>
    <mergeCell ref="B28:E28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5" width="20.0"/>
    <col customWidth="1" min="6" max="6" width="30.0"/>
    <col customWidth="1" min="7" max="26" width="8.71"/>
  </cols>
  <sheetData>
    <row r="1" ht="7.5" customHeight="1"/>
    <row r="2" ht="48.0" customHeight="1">
      <c r="B2" s="1" t="s">
        <v>81</v>
      </c>
      <c r="C2" s="2"/>
      <c r="D2" s="2"/>
      <c r="E2" s="3"/>
    </row>
    <row r="3" ht="21.75" customHeight="1">
      <c r="B3" s="4" t="s">
        <v>30</v>
      </c>
      <c r="C3" s="2"/>
      <c r="D3" s="2"/>
      <c r="E3" s="3"/>
    </row>
    <row r="4" ht="18.0" customHeight="1">
      <c r="B4" s="12" t="s">
        <v>31</v>
      </c>
      <c r="C4" s="12" t="s">
        <v>32</v>
      </c>
      <c r="D4" s="12" t="s">
        <v>33</v>
      </c>
      <c r="E4" s="12" t="s">
        <v>34</v>
      </c>
    </row>
    <row r="5" ht="19.5" customHeight="1">
      <c r="B5" s="5" t="s">
        <v>35</v>
      </c>
      <c r="C5" s="28">
        <v>60.0</v>
      </c>
      <c r="D5" s="29">
        <v>150.0</v>
      </c>
      <c r="E5" s="10">
        <f>(C5/1000)*'Parámetros'!C6</f>
        <v>1694.04</v>
      </c>
    </row>
    <row r="6" ht="19.5" customHeight="1">
      <c r="B6" s="5" t="s">
        <v>36</v>
      </c>
      <c r="C6" s="28">
        <v>60.0</v>
      </c>
      <c r="D6" s="29">
        <v>150.0</v>
      </c>
      <c r="E6" s="10">
        <f>(C6/1000)*'Parámetros'!C6</f>
        <v>1694.04</v>
      </c>
    </row>
    <row r="7" ht="19.5" customHeight="1">
      <c r="B7" s="5" t="s">
        <v>82</v>
      </c>
      <c r="C7" s="28">
        <v>15.0</v>
      </c>
      <c r="D7" s="29">
        <v>75.0</v>
      </c>
      <c r="E7" s="10">
        <f>(C7/1000)*'Parámetros'!C6</f>
        <v>423.51</v>
      </c>
    </row>
    <row r="8" ht="19.5" customHeight="1">
      <c r="B8" s="5" t="s">
        <v>38</v>
      </c>
      <c r="C8" s="14">
        <f t="shared" ref="C8:E8" si="1">SUM(C5:C7)</f>
        <v>135</v>
      </c>
      <c r="D8" s="15">
        <f t="shared" si="1"/>
        <v>375</v>
      </c>
      <c r="E8" s="10">
        <f t="shared" si="1"/>
        <v>3811.59</v>
      </c>
    </row>
    <row r="9" ht="19.5" customHeight="1">
      <c r="B9" s="5" t="s">
        <v>39</v>
      </c>
      <c r="E9" s="10">
        <f>E8*('Parámetros'!C21/100)</f>
        <v>190.5795</v>
      </c>
    </row>
    <row r="10" ht="21.75" customHeight="1">
      <c r="B10" s="5" t="s">
        <v>40</v>
      </c>
      <c r="E10" s="16">
        <f>E8+E9</f>
        <v>4002.1695</v>
      </c>
    </row>
    <row r="11" ht="21.75" customHeight="1">
      <c r="B11" s="4" t="s">
        <v>41</v>
      </c>
      <c r="C11" s="2"/>
      <c r="D11" s="2"/>
      <c r="E11" s="3"/>
    </row>
    <row r="12" ht="19.5" customHeight="1">
      <c r="B12" s="5" t="s">
        <v>42</v>
      </c>
      <c r="C12" s="29">
        <v>80.0</v>
      </c>
      <c r="D12" s="5" t="s">
        <v>43</v>
      </c>
      <c r="E12" s="10">
        <f>(C12/500)*'Parámetros'!C7</f>
        <v>2855.04</v>
      </c>
    </row>
    <row r="13" ht="7.5" customHeight="1"/>
    <row r="14" ht="21.75" customHeight="1">
      <c r="B14" s="4" t="s">
        <v>44</v>
      </c>
      <c r="C14" s="2"/>
      <c r="D14" s="2"/>
      <c r="E14" s="3"/>
    </row>
    <row r="15" ht="19.5" customHeight="1">
      <c r="B15" s="5" t="s">
        <v>45</v>
      </c>
      <c r="E15" s="10">
        <f>'Parámetros'!C8</f>
        <v>0</v>
      </c>
      <c r="F15" s="17" t="s">
        <v>46</v>
      </c>
    </row>
    <row r="16" ht="7.5" customHeight="1"/>
    <row r="17" ht="21.75" customHeight="1">
      <c r="B17" s="4" t="s">
        <v>47</v>
      </c>
      <c r="C17" s="2"/>
      <c r="D17" s="2"/>
      <c r="E17" s="3"/>
    </row>
    <row r="18" ht="19.5" customHeight="1">
      <c r="B18" s="5" t="s">
        <v>48</v>
      </c>
      <c r="C18" s="15">
        <f>D8</f>
        <v>375</v>
      </c>
      <c r="D18" s="5" t="s">
        <v>49</v>
      </c>
      <c r="E18" s="10">
        <f>(C18/60)*'Parámetros'!C32</f>
        <v>1837.7175</v>
      </c>
    </row>
    <row r="19" ht="7.5" customHeight="1"/>
    <row r="20" ht="21.75" customHeight="1">
      <c r="B20" s="4" t="s">
        <v>50</v>
      </c>
      <c r="C20" s="2"/>
      <c r="D20" s="2"/>
      <c r="E20" s="3"/>
    </row>
    <row r="21" ht="19.5" customHeight="1">
      <c r="B21" s="5" t="s">
        <v>51</v>
      </c>
      <c r="C21" s="8">
        <v>45.0</v>
      </c>
    </row>
    <row r="22" ht="19.5" customHeight="1">
      <c r="B22" s="5" t="s">
        <v>52</v>
      </c>
      <c r="C22" s="8">
        <v>15.0</v>
      </c>
    </row>
    <row r="23" ht="19.5" customHeight="1">
      <c r="B23" s="5" t="s">
        <v>53</v>
      </c>
      <c r="E23" s="10">
        <f>((C21+C22)/60)*'Parámetros'!C20</f>
        <v>5000</v>
      </c>
    </row>
    <row r="24" ht="7.5" customHeight="1"/>
    <row r="25" ht="21.75" customHeight="1">
      <c r="B25" s="4" t="s">
        <v>54</v>
      </c>
      <c r="C25" s="2"/>
      <c r="D25" s="2"/>
      <c r="E25" s="3"/>
    </row>
    <row r="26" ht="19.5" customHeight="1">
      <c r="B26" s="5" t="s">
        <v>55</v>
      </c>
      <c r="E26" s="10">
        <f>'Parámetros'!C25/'Parámetros'!C26</f>
        <v>750</v>
      </c>
    </row>
    <row r="27" ht="7.5" customHeight="1"/>
    <row r="28" ht="25.5" customHeight="1">
      <c r="B28" s="18" t="s">
        <v>56</v>
      </c>
      <c r="C28" s="2"/>
      <c r="D28" s="3"/>
    </row>
    <row r="29" ht="19.5" customHeight="1">
      <c r="B29" s="5" t="s">
        <v>57</v>
      </c>
      <c r="E29" s="10">
        <f>E10</f>
        <v>4002.1695</v>
      </c>
    </row>
    <row r="30" ht="19.5" customHeight="1">
      <c r="B30" s="5" t="s">
        <v>58</v>
      </c>
      <c r="E30" s="10">
        <f>E12</f>
        <v>2855.04</v>
      </c>
    </row>
    <row r="31" ht="19.5" customHeight="1">
      <c r="B31" s="5" t="s">
        <v>59</v>
      </c>
      <c r="E31" s="10">
        <f>E15</f>
        <v>0</v>
      </c>
    </row>
    <row r="32" ht="19.5" customHeight="1">
      <c r="B32" s="5" t="s">
        <v>60</v>
      </c>
      <c r="E32" s="10">
        <f>E18</f>
        <v>1837.7175</v>
      </c>
    </row>
    <row r="33" ht="19.5" customHeight="1">
      <c r="B33" s="5" t="s">
        <v>61</v>
      </c>
      <c r="E33" s="10">
        <f>E23</f>
        <v>5000</v>
      </c>
    </row>
    <row r="34" ht="19.5" customHeight="1">
      <c r="B34" s="5" t="s">
        <v>62</v>
      </c>
      <c r="E34" s="10">
        <f>E26</f>
        <v>750</v>
      </c>
    </row>
    <row r="35" ht="24.0" customHeight="1">
      <c r="B35" s="5" t="s">
        <v>63</v>
      </c>
      <c r="E35" s="11">
        <f>SUM(E29:E34)</f>
        <v>14444.927</v>
      </c>
    </row>
    <row r="36" ht="19.5" customHeight="1">
      <c r="B36" s="5" t="s">
        <v>64</v>
      </c>
      <c r="E36" s="10">
        <f>E35*('Parámetros'!C22/100)</f>
        <v>722.24635</v>
      </c>
    </row>
    <row r="37" ht="19.5" customHeight="1">
      <c r="B37" s="5" t="s">
        <v>65</v>
      </c>
      <c r="E37" s="10">
        <f>E35*('Parámetros'!C23/100)</f>
        <v>1444.4927</v>
      </c>
    </row>
    <row r="38" ht="25.5" customHeight="1">
      <c r="B38" s="5" t="s">
        <v>66</v>
      </c>
      <c r="E38" s="19">
        <f>E35+E36+E37</f>
        <v>16611.66605</v>
      </c>
    </row>
    <row r="39" ht="7.5" customHeight="1"/>
    <row r="40" ht="21.75" customHeight="1">
      <c r="B40" s="4" t="s">
        <v>67</v>
      </c>
      <c r="C40" s="2"/>
      <c r="D40" s="2"/>
      <c r="E40" s="3"/>
    </row>
    <row r="41" ht="7.5" customHeight="1"/>
    <row r="42" ht="21.75" customHeight="1">
      <c r="B42" s="20" t="s">
        <v>68</v>
      </c>
      <c r="C42" s="2"/>
      <c r="D42" s="2"/>
      <c r="E42" s="3"/>
    </row>
    <row r="43" ht="19.5" customHeight="1">
      <c r="B43" s="5" t="s">
        <v>69</v>
      </c>
      <c r="C43" s="9">
        <v>35.0</v>
      </c>
    </row>
    <row r="44" ht="19.5" customHeight="1">
      <c r="B44" s="5" t="s">
        <v>70</v>
      </c>
      <c r="C44" s="9">
        <v>6.5</v>
      </c>
    </row>
    <row r="45" ht="19.5" customHeight="1">
      <c r="B45" s="5" t="s">
        <v>71</v>
      </c>
      <c r="C45" s="21">
        <f>'Parámetros'!C24</f>
        <v>4</v>
      </c>
    </row>
    <row r="46" ht="19.5" customHeight="1">
      <c r="B46" s="5" t="s">
        <v>72</v>
      </c>
      <c r="C46" s="22">
        <f>1-(C43/100)-(C44/100)-(C45/100)</f>
        <v>0.545</v>
      </c>
    </row>
    <row r="47" ht="25.5" customHeight="1">
      <c r="B47" s="5" t="s">
        <v>73</v>
      </c>
      <c r="E47" s="11">
        <f>IF(C46&gt;0,E38/C46,"⚠️ Rev. márgenes")</f>
        <v>30480.12119</v>
      </c>
    </row>
    <row r="48" ht="19.5" customHeight="1">
      <c r="B48" s="5" t="s">
        <v>74</v>
      </c>
      <c r="E48" s="23">
        <f>IF(C46&gt;0,E47*(C43/100),"-")</f>
        <v>10668.04242</v>
      </c>
    </row>
    <row r="49" ht="7.5" customHeight="1"/>
    <row r="50" ht="21.75" customHeight="1">
      <c r="B50" s="20" t="s">
        <v>75</v>
      </c>
      <c r="C50" s="2"/>
      <c r="D50" s="2"/>
      <c r="E50" s="3"/>
    </row>
    <row r="51" ht="19.5" customHeight="1">
      <c r="B51" s="5" t="s">
        <v>69</v>
      </c>
      <c r="C51" s="9">
        <v>35.0</v>
      </c>
    </row>
    <row r="52" ht="19.5" customHeight="1">
      <c r="B52" s="5" t="s">
        <v>70</v>
      </c>
      <c r="C52" s="9">
        <v>13.0</v>
      </c>
    </row>
    <row r="53" ht="19.5" customHeight="1">
      <c r="B53" s="5" t="s">
        <v>71</v>
      </c>
      <c r="C53" s="21">
        <f>'Parámetros'!C24</f>
        <v>4</v>
      </c>
    </row>
    <row r="54" ht="19.5" customHeight="1">
      <c r="B54" s="5" t="s">
        <v>72</v>
      </c>
      <c r="C54" s="22">
        <f>1-(C51/100)-(C52/100)-(C53/100)</f>
        <v>0.48</v>
      </c>
    </row>
    <row r="55" ht="25.5" customHeight="1">
      <c r="B55" s="5" t="s">
        <v>76</v>
      </c>
      <c r="E55" s="11">
        <f>IF(C54&gt;0,E38/C54,"⚠️ Rev. márgenes")</f>
        <v>34607.6376</v>
      </c>
    </row>
    <row r="56" ht="19.5" customHeight="1">
      <c r="B56" s="5" t="s">
        <v>74</v>
      </c>
      <c r="E56" s="23">
        <f>IF(C54&gt;0,E55*(C51/100),"-")</f>
        <v>12112.67316</v>
      </c>
    </row>
    <row r="57" ht="7.5" customHeight="1"/>
    <row r="58" ht="21.75" customHeight="1">
      <c r="B58" s="20" t="s">
        <v>77</v>
      </c>
      <c r="C58" s="2"/>
      <c r="D58" s="2"/>
      <c r="E58" s="3"/>
    </row>
    <row r="59" ht="19.5" customHeight="1">
      <c r="B59" s="5" t="s">
        <v>69</v>
      </c>
      <c r="C59" s="9">
        <v>30.0</v>
      </c>
    </row>
    <row r="60" ht="19.5" customHeight="1">
      <c r="B60" s="5" t="s">
        <v>70</v>
      </c>
      <c r="C60" s="9">
        <v>6.5</v>
      </c>
    </row>
    <row r="61" ht="19.5" customHeight="1">
      <c r="B61" s="5" t="s">
        <v>71</v>
      </c>
      <c r="C61" s="21">
        <f>'Parámetros'!C24</f>
        <v>4</v>
      </c>
    </row>
    <row r="62" ht="19.5" customHeight="1">
      <c r="B62" s="5" t="s">
        <v>72</v>
      </c>
      <c r="C62" s="22">
        <f>1-(C59/100)-(C60/100)-(C61/100)</f>
        <v>0.595</v>
      </c>
    </row>
    <row r="63" ht="25.5" customHeight="1">
      <c r="B63" s="5" t="s">
        <v>78</v>
      </c>
      <c r="E63" s="11">
        <f>IF(C62&gt;0,E38/C62,"⚠️ Rev. márgenes")</f>
        <v>27918.76647</v>
      </c>
    </row>
    <row r="64" ht="19.5" customHeight="1">
      <c r="B64" s="5" t="s">
        <v>74</v>
      </c>
      <c r="E64" s="23">
        <f>IF(C62&gt;0,E63*(C59/100),"-")</f>
        <v>8375.629941</v>
      </c>
    </row>
    <row r="65" ht="7.5" customHeight="1"/>
    <row r="66" ht="18.0" customHeight="1">
      <c r="B66" s="24" t="s">
        <v>79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3">
    <mergeCell ref="B28:D28"/>
    <mergeCell ref="B40:E40"/>
    <mergeCell ref="B42:E42"/>
    <mergeCell ref="B50:E50"/>
    <mergeCell ref="B58:E58"/>
    <mergeCell ref="B66:E66"/>
    <mergeCell ref="B2:E2"/>
    <mergeCell ref="B3:E3"/>
    <mergeCell ref="B11:E11"/>
    <mergeCell ref="B14:E14"/>
    <mergeCell ref="B17:E17"/>
    <mergeCell ref="B20:E20"/>
    <mergeCell ref="B25:E25"/>
  </mergeCells>
  <printOptions/>
  <pageMargins bottom="1.0" footer="0.0" header="0.0" left="0.75" right="0.75" top="1.0"/>
  <pageSetup orientation="landscape"/>
  <drawing r:id="rId1"/>
</worksheet>
</file>